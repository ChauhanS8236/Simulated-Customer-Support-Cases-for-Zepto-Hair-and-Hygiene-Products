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port Case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<sst xmlns="http://schemas.openxmlformats.org/spreadsheetml/2006/main" count="300" uniqueCount="223">
  <si>
    <t xml:space="preserve">Case ID</t>
  </si>
  <si>
    <t xml:space="preserve">Date</t>
  </si>
  <si>
    <t xml:space="preserve">Product Name</t>
  </si>
  <si>
    <t xml:space="preserve">Product SKU</t>
  </si>
  <si>
    <t xml:space="preserve">Category</t>
  </si>
  <si>
    <t xml:space="preserve">Issue Type</t>
  </si>
  <si>
    <t xml:space="preserve">Customer Message</t>
  </si>
  <si>
    <t xml:space="preserve">Priority</t>
  </si>
  <si>
    <t xml:space="preserve">Status</t>
  </si>
  <si>
    <t xml:space="preserve">Resolution</t>
  </si>
  <si>
    <t xml:space="preserve">Agent Notes</t>
  </si>
  <si>
    <t xml:space="preserve">CSAT Score</t>
  </si>
  <si>
    <t xml:space="preserve">ZPT-1001</t>
  </si>
  <si>
    <t xml:space="preserve">2025-01-03</t>
  </si>
  <si>
    <t xml:space="preserve">L'Oreal Paris Hyaluron Moisture 72H Conditioner</t>
  </si>
  <si>
    <t xml:space="preserve">HC-LOR-001</t>
  </si>
  <si>
    <t xml:space="preserve">Hair Care</t>
  </si>
  <si>
    <t xml:space="preserve">Wrong Item Delivered</t>
  </si>
  <si>
    <t xml:space="preserve">I ordered the L'Oreal Hyaluron Conditioner 175ml but received a completely different shampoo brand. Please help resolve this urgently.</t>
  </si>
  <si>
    <t xml:space="preserve">High</t>
  </si>
  <si>
    <t xml:space="preserve">Resolved</t>
  </si>
  <si>
    <t xml:space="preserve">Issued full refund and reshipped correct product via priority delivery. Customer confirmed receipt.</t>
  </si>
  <si>
    <t xml:space="preserve">Likely warehouse pick error. Escalated to fulfillment team.</t>
  </si>
  <si>
    <t xml:space="preserve">ZPT-1002</t>
  </si>
  <si>
    <t xml:space="preserve">2025-01-05</t>
  </si>
  <si>
    <t xml:space="preserve">Parachute Advansed Men Hair Cream Anti-Dandruff</t>
  </si>
  <si>
    <t xml:space="preserve">HC-PAR-002</t>
  </si>
  <si>
    <t xml:space="preserve">Product Damaged</t>
  </si>
  <si>
    <t xml:space="preserve">The hair cream tube arrived completely crushed and the product was leaking inside the packaging. Unusable condition.</t>
  </si>
  <si>
    <t xml:space="preserve">Replacement sent within 24 hours. Refund offered as gesture of goodwill.</t>
  </si>
  <si>
    <t xml:space="preserve">Packaging insufficient for courier handling. Flagged to packaging team.</t>
  </si>
  <si>
    <t xml:space="preserve">ZPT-1003</t>
  </si>
  <si>
    <t xml:space="preserve">2025-01-07</t>
  </si>
  <si>
    <t xml:space="preserve">Livon Serum Frizz-Free with Argan Oil &amp; Vitamin E</t>
  </si>
  <si>
    <t xml:space="preserve">HC-LIV-003</t>
  </si>
  <si>
    <t xml:space="preserve">Product Efficacy Complaint</t>
  </si>
  <si>
    <t xml:space="preserve">I've been using this serum for 3 weeks and see zero difference in my frizz. The product claims to work but it simply doesn't for my hair type.</t>
  </si>
  <si>
    <t xml:space="preserve">Medium</t>
  </si>
  <si>
    <t xml:space="preserve">Closed</t>
  </si>
  <si>
    <t xml:space="preserve">Advised customer on correct usage technique and quantity. Offered partial refund as goodwill gesture.</t>
  </si>
  <si>
    <t xml:space="preserve">Usage instructions not prominently displayed. Feedback sent to content team.</t>
  </si>
  <si>
    <t xml:space="preserve">ZPT-1004</t>
  </si>
  <si>
    <t xml:space="preserve">2025-01-08</t>
  </si>
  <si>
    <t xml:space="preserve">Parachute 100% Pure Coconut Oil 300ml</t>
  </si>
  <si>
    <t xml:space="preserve">HC-PAR-004</t>
  </si>
  <si>
    <t xml:space="preserve">Expiry Date Concern</t>
  </si>
  <si>
    <t xml:space="preserve">The coconut oil I received expires in just 2 weeks. This is unacceptable for a product I can't finish so quickly. Is this safe to use?</t>
  </si>
  <si>
    <t xml:space="preserve">Full replacement sent with product expiring in 8+ months. Apologized for inconvenience.</t>
  </si>
  <si>
    <t xml:space="preserve">Short-dated stock issue. Flagged inventory management.</t>
  </si>
  <si>
    <t xml:space="preserve">ZPT-1005</t>
  </si>
  <si>
    <t xml:space="preserve">2025-01-10</t>
  </si>
  <si>
    <t xml:space="preserve">Bajaj Almond Drops Hair Oil 95ml</t>
  </si>
  <si>
    <t xml:space="preserve">HC-BAJ-005</t>
  </si>
  <si>
    <t xml:space="preserve">Quantity Mismatch</t>
  </si>
  <si>
    <t xml:space="preserve">The bottle I received appears to be only half full. I paid for 95ml but it looks like 40-45ml at most. Feel cheated.</t>
  </si>
  <si>
    <t xml:space="preserve">Refund processed immediately. Replacement dispatched. QC check requested on this batch.</t>
  </si>
  <si>
    <t xml:space="preserve">Possible underfill issue. Batch number logged for QC investigation.</t>
  </si>
  <si>
    <t xml:space="preserve">ZPT-1006</t>
  </si>
  <si>
    <t xml:space="preserve">2025-01-12</t>
  </si>
  <si>
    <t xml:space="preserve">Streax Professional Vitariche Gloss Hair Serum</t>
  </si>
  <si>
    <t xml:space="preserve">HC-STR-006</t>
  </si>
  <si>
    <t xml:space="preserve">Seal Tampered / Missing</t>
  </si>
  <si>
    <t xml:space="preserve">The serum bottle had a broken seal when it arrived. Very concerned about product safety and authenticity. How can I trust this product now?</t>
  </si>
  <si>
    <t xml:space="preserve">Immediate replacement sent. Full refund also offered. Customer educated on authenticity checks.</t>
  </si>
  <si>
    <t xml:space="preserve">Tamper-evident seal issue. Reported to supplier for investigation.</t>
  </si>
  <si>
    <t xml:space="preserve">ZPT-1007</t>
  </si>
  <si>
    <t xml:space="preserve">2025-01-14</t>
  </si>
  <si>
    <t xml:space="preserve">Dove Hair Fall Rescue Conditioner 175ml</t>
  </si>
  <si>
    <t xml:space="preserve">HC-DOV-007</t>
  </si>
  <si>
    <t xml:space="preserve">Allergic Reaction</t>
  </si>
  <si>
    <t xml:space="preserve">I used this conditioner and developed severe scalp itching and redness within hours. I've never experienced this with other conditioners. Is there a known allergen?</t>
  </si>
  <si>
    <t xml:space="preserve">Critical</t>
  </si>
  <si>
    <t xml:space="preserve">Escalated</t>
  </si>
  <si>
    <t xml:space="preserve">Advised to stop use immediately and consult a dermatologist. Full refund issued. Case sent to medical escalation team.</t>
  </si>
  <si>
    <t xml:space="preserve">Possible allergic reaction to Bio-Protein Care formula. Filed adverse event report.</t>
  </si>
  <si>
    <t xml:space="preserve">ZPT-1008</t>
  </si>
  <si>
    <t xml:space="preserve">2025-01-15</t>
  </si>
  <si>
    <t xml:space="preserve">L'Oreal Paris Hyaluronic Moisture Shampoo 200ml</t>
  </si>
  <si>
    <t xml:space="preserve">HC-LOR-008</t>
  </si>
  <si>
    <t xml:space="preserve">Missing Item in Order</t>
  </si>
  <si>
    <t xml:space="preserve">My order showed 2 items but only the shampoo arrived. The conditioner I also ordered was missing from the package.</t>
  </si>
  <si>
    <t xml:space="preserve">Missing conditioner dispatched same day. Confirmed delivery.</t>
  </si>
  <si>
    <t xml:space="preserve">Single-item shipment error. Flagged to warehouse.</t>
  </si>
  <si>
    <t xml:space="preserve">ZPT-1009</t>
  </si>
  <si>
    <t xml:space="preserve">2025-01-17</t>
  </si>
  <si>
    <t xml:space="preserve">Livon Anti Frizz Hair Serum 50ml</t>
  </si>
  <si>
    <t xml:space="preserve">HC-LIV-009</t>
  </si>
  <si>
    <t xml:space="preserve">Wrong Variant Delivered</t>
  </si>
  <si>
    <t xml:space="preserve">I ordered the Livon Anti Frizz serum for rough/dry hair but received the regular Livon serum. These are different products with different formulations.</t>
  </si>
  <si>
    <t xml:space="preserve">Correct variant shipped. Return label provided for wrong item.</t>
  </si>
  <si>
    <t xml:space="preserve">Variant confusion at warehouse. SKU mapping reviewed.</t>
  </si>
  <si>
    <t xml:space="preserve">ZPT-1010</t>
  </si>
  <si>
    <t xml:space="preserve">2025-01-19</t>
  </si>
  <si>
    <t xml:space="preserve">Parachute 100% Pure Coconut Oil 200ml</t>
  </si>
  <si>
    <t xml:space="preserve">HC-PAR-010</t>
  </si>
  <si>
    <t xml:space="preserve">Counterfeit Product Concern</t>
  </si>
  <si>
    <t xml:space="preserve">The oil I received smells different from the Parachute I've used for years and the packaging looks slightly off — font and cap color don't match. Worried it's fake.</t>
  </si>
  <si>
    <t xml:space="preserve">Product recalled from customer. Sent to authenticity verification team. Full refund issued immediately.</t>
  </si>
  <si>
    <t xml:space="preserve">Potential counterfeit. Supplier audit initiated. Customer kept informed.</t>
  </si>
  <si>
    <t xml:space="preserve">ZPT-1011</t>
  </si>
  <si>
    <t xml:space="preserve">2025-01-20</t>
  </si>
  <si>
    <t xml:space="preserve">Godrej Protekt Germ Fighter Handwash Refill 1.5L</t>
  </si>
  <si>
    <t xml:space="preserve">PH-GOD-011</t>
  </si>
  <si>
    <t xml:space="preserve">Personal Hygiene</t>
  </si>
  <si>
    <t xml:space="preserve">Leaking Packaging</t>
  </si>
  <si>
    <t xml:space="preserve">The 1.5L refill pack was completely soaked through and leaking when I received it. The outer bag was wet and the inner pack had a crack. Totally unusable.</t>
  </si>
  <si>
    <t xml:space="preserve">Replacement sent with improved packaging. Refund issued for inconvenience.</t>
  </si>
  <si>
    <t xml:space="preserve">Refill pack fragile in transit. Raised packaging quality issue with supplier.</t>
  </si>
  <si>
    <t xml:space="preserve">ZPT-1012</t>
  </si>
  <si>
    <t xml:space="preserve">2025-01-21</t>
  </si>
  <si>
    <t xml:space="preserve">BECO Moisturising Liquid Handwash 675ml</t>
  </si>
  <si>
    <t xml:space="preserve">PH-BEC-012</t>
  </si>
  <si>
    <t xml:space="preserve">Strong Chemical Smell</t>
  </si>
  <si>
    <t xml:space="preserve">This handwash has a very strong, almost industrial chemical smell rather than the Mahogany Teakwood fragrance described. Made my hands smell terrible all day.</t>
  </si>
  <si>
    <t xml:space="preserve">Replacement from a different batch sent. Apology issued. Customer reported new batch smells fine.</t>
  </si>
  <si>
    <t xml:space="preserve">Possible batch fragrance inconsistency. Supplier notified for batch QC check.</t>
  </si>
  <si>
    <t xml:space="preserve">ZPT-1013</t>
  </si>
  <si>
    <t xml:space="preserve">2025-01-22</t>
  </si>
  <si>
    <t xml:space="preserve">Pears Moisturising Bathing Bar Soap 3x125g</t>
  </si>
  <si>
    <t xml:space="preserve">PH-PEA-013</t>
  </si>
  <si>
    <t xml:space="preserve">Product Quality - Melted</t>
  </si>
  <si>
    <t xml:space="preserve">All three soap bars arrived partially melted and fused together in the packaging. They're deformed and one cracked in half. Looks like they were exposed to heat.</t>
  </si>
  <si>
    <t xml:space="preserve">Fresh pack dispatched with temperature-safe packaging notation. Full refund issued.</t>
  </si>
  <si>
    <t xml:space="preserve">Heat exposure during delivery. Cold-chain packaging recommended for soaps in summer.</t>
  </si>
  <si>
    <t xml:space="preserve">ZPT-1014</t>
  </si>
  <si>
    <t xml:space="preserve">2025-01-23</t>
  </si>
  <si>
    <t xml:space="preserve">Cinthol Original Talcum Powder 300g</t>
  </si>
  <si>
    <t xml:space="preserve">PH-CIN-014</t>
  </si>
  <si>
    <t xml:space="preserve">Packaging Defect - Lid Issue</t>
  </si>
  <si>
    <t xml:space="preserve">The lid on the talcum powder container won't close properly. Powder spills out everywhere when I pick it up. The closure mechanism seems broken/defective.</t>
  </si>
  <si>
    <t xml:space="preserve">Low</t>
  </si>
  <si>
    <t xml:space="preserve">Replacement dispatched. Advised customer to store upright as workaround in the interim.</t>
  </si>
  <si>
    <t xml:space="preserve">Lid defect issue. Reported to Cinthol supplier for manufacturing quality review.</t>
  </si>
  <si>
    <t xml:space="preserve">ZPT-1015</t>
  </si>
  <si>
    <t xml:space="preserve">2025-01-24</t>
  </si>
  <si>
    <t xml:space="preserve">Dettol Skincare Hand Wash Refill 675ml</t>
  </si>
  <si>
    <t xml:space="preserve">PH-DET-015</t>
  </si>
  <si>
    <t xml:space="preserve">Product Not as Described</t>
  </si>
  <si>
    <t xml:space="preserve">The listing says 'moisturizing' but after using this for a week my hands are drier than before. My skin feels tight and irritated. Very misleading description.</t>
  </si>
  <si>
    <t xml:space="preserve">Explained product works differently for different skin types. Offered partial refund. Customer declined and requested full return.</t>
  </si>
  <si>
    <t xml:space="preserve">Listing claims need review with Dettol India. Customer education around skin types recommended.</t>
  </si>
  <si>
    <t xml:space="preserve">ZPT-1016</t>
  </si>
  <si>
    <t xml:space="preserve">2025-01-25</t>
  </si>
  <si>
    <t xml:space="preserve">Pears Pure &amp; Gentle Bathing Soap 4x75g</t>
  </si>
  <si>
    <t xml:space="preserve">PH-PEA-016</t>
  </si>
  <si>
    <t xml:space="preserve">Missing Item</t>
  </si>
  <si>
    <t xml:space="preserve">I received a pack of 4 bars but one bar is clearly missing. The box was sealed but lighter than expected. There are only 3 bars inside.</t>
  </si>
  <si>
    <t xml:space="preserve">Replacement full pack sent. Refund offered but customer declined, wanted just the missing bar — sent full pack anyway.</t>
  </si>
  <si>
    <t xml:space="preserve">Short-fill at factory level possible. Reported to Pears supplier.</t>
  </si>
  <si>
    <t xml:space="preserve">ZPT-1017</t>
  </si>
  <si>
    <t xml:space="preserve">2025-01-26</t>
  </si>
  <si>
    <t xml:space="preserve">Dettol Skincare Handwash Refill 1.35L</t>
  </si>
  <si>
    <t xml:space="preserve">PH-DET-017</t>
  </si>
  <si>
    <t xml:space="preserve">Wrong Product Delivered</t>
  </si>
  <si>
    <t xml:space="preserve">I ordered the 1.35L Dettol refill but got the 675ml version. I'm being charged for the larger size but received the smaller one. Please correct this.</t>
  </si>
  <si>
    <t xml:space="preserve">Correct 1.35L unit dispatched immediately. Customer allowed to keep the 675ml as apology.</t>
  </si>
  <si>
    <t xml:space="preserve">Size/variant mix-up at warehouse. SKU tagging reviewed.</t>
  </si>
  <si>
    <t xml:space="preserve">ZPT-1018</t>
  </si>
  <si>
    <t xml:space="preserve">2025-01-27</t>
  </si>
  <si>
    <t xml:space="preserve">Chandrika Ayurvedic Soap 3x125g + 1x75g</t>
  </si>
  <si>
    <t xml:space="preserve">PH-CHA-018</t>
  </si>
  <si>
    <t xml:space="preserve">Skin Irritation Complaint</t>
  </si>
  <si>
    <t xml:space="preserve">My child used this soap and broke out in red patches on their skin. The packaging says it's gentle with coconut oil but it clearly caused a reaction.</t>
  </si>
  <si>
    <t xml:space="preserve">Advised to stop use immediately and see a pediatrician. Full refund issued. Adverse event report filed.</t>
  </si>
  <si>
    <t xml:space="preserve">Patchouli oil may be irritant for sensitive/child skin. Warning label review recommended.</t>
  </si>
  <si>
    <t xml:space="preserve">ZPT-1019</t>
  </si>
  <si>
    <t xml:space="preserve">2025-01-28</t>
  </si>
  <si>
    <t xml:space="preserve">PH-GOD-019</t>
  </si>
  <si>
    <t xml:space="preserve">Delayed Delivery</t>
  </si>
  <si>
    <t xml:space="preserve">My order was placed 5 days ago and still hasn't arrived. The tracking hasn't updated in 3 days. I needed this product urgently for my office.</t>
  </si>
  <si>
    <t xml:space="preserve">Located shipment — delayed at regional hub due to weather. Expedited delivery arranged. Order arrived next day.</t>
  </si>
  <si>
    <t xml:space="preserve">Logistics delay due to weather. Customer compensated with ₹50 Zepto credit.</t>
  </si>
  <si>
    <t xml:space="preserve">ZPT-1020</t>
  </si>
  <si>
    <t xml:space="preserve">2025-01-29</t>
  </si>
  <si>
    <t xml:space="preserve">PH-BEC-020</t>
  </si>
  <si>
    <t xml:space="preserve">App Pricing Discrepancy</t>
  </si>
  <si>
    <t xml:space="preserve">The app showed ₹77 during my checkout but I was charged ₹119 on the final bill. I have a screenshot of the listed price. This is false advertising.</t>
  </si>
  <si>
    <t xml:space="preserve">Price difference (₹42) refunded immediately. Glitch reported to pricing/tech team.</t>
  </si>
  <si>
    <t xml:space="preserve">Flash sale price not correctly updated post-expiry. Tech bug filed.</t>
  </si>
  <si>
    <t xml:space="preserve">ZPT-1021</t>
  </si>
  <si>
    <t xml:space="preserve">2025-01-30</t>
  </si>
  <si>
    <t xml:space="preserve">PH-PEA-021</t>
  </si>
  <si>
    <t xml:space="preserve">Duplicate Charge</t>
  </si>
  <si>
    <t xml:space="preserve">I was charged twice for my order of Pears soap. My bank statement clearly shows two identical debits of ₹182 on the same date.</t>
  </si>
  <si>
    <t xml:space="preserve">Duplicate charge confirmed and refunded within 24 hours. Apology issued.</t>
  </si>
  <si>
    <t xml:space="preserve">Payment gateway double-charge bug. Escalated to payments tech team.</t>
  </si>
  <si>
    <t xml:space="preserve">ZPT-1022</t>
  </si>
  <si>
    <t xml:space="preserve">2025-02-01</t>
  </si>
  <si>
    <t xml:space="preserve">Return Refused</t>
  </si>
  <si>
    <t xml:space="preserve">I wanted to return this serum because it caused my hair to feel greasy and weighed down, but the app says return window has closed. I only got it 4 days ago!</t>
  </si>
  <si>
    <t xml:space="preserve">Exception approved given product issue. Return pickup arranged and refund initiated.</t>
  </si>
  <si>
    <t xml:space="preserve">Return window UI may show incorrect date. Bug flagged to app team.</t>
  </si>
  <si>
    <t xml:space="preserve">ZPT-1023</t>
  </si>
  <si>
    <t xml:space="preserve">2025-02-03</t>
  </si>
  <si>
    <t xml:space="preserve">Product Authenticity</t>
  </si>
  <si>
    <t xml:space="preserve">The Parachute cream I received has a slightly different label design and the texture inside is different from previous purchases. Is this a newer formula or a fake?</t>
  </si>
  <si>
    <t xml:space="preserve">Confirmed authentic — Parachute updated packaging in Q4 2024. Shared official communication with customer.</t>
  </si>
  <si>
    <t xml:space="preserve">New packaging causing customer confusion. Recommend adding 'New Look' label on listing.</t>
  </si>
  <si>
    <t xml:space="preserve">ZPT-1024</t>
  </si>
  <si>
    <t xml:space="preserve">2025-02-05</t>
  </si>
  <si>
    <t xml:space="preserve">Order Cancellation Issue</t>
  </si>
  <si>
    <t xml:space="preserve">I tried to cancel my order within 2 minutes of placing it but the app gave an error. Now the order has shipped and I don't want it. Please help.</t>
  </si>
  <si>
    <t xml:space="preserve">Return initiated post-delivery. Refund processed once item was picked up.</t>
  </si>
  <si>
    <t xml:space="preserve">Cancel window glitch. Tech team alerted.</t>
  </si>
  <si>
    <t xml:space="preserve">ZPT-1025</t>
  </si>
  <si>
    <t xml:space="preserve">2025-02-07</t>
  </si>
  <si>
    <t xml:space="preserve">Incorrect MRP on Package</t>
  </si>
  <si>
    <t xml:space="preserve">The MRP printed on the soap packaging says ₹85 but Zepto charged me ₹128. This seems illegal — you can't charge above MRP.</t>
  </si>
  <si>
    <t xml:space="preserve">Investigated: MRP on pack was for older SKU; new bundled pack has separate MRP. Explanation given and ₹20 credit offered as goodwill.</t>
  </si>
  <si>
    <t xml:space="preserve">Bundled SKU MRP clarity needed on listing. Flagged to catalog team.</t>
  </si>
  <si>
    <t xml:space="preserve">Metric</t>
  </si>
  <si>
    <t xml:space="preserve">Value</t>
  </si>
  <si>
    <t xml:space="preserve">Total Cases</t>
  </si>
  <si>
    <t xml:space="preserve">Critical Cases</t>
  </si>
  <si>
    <t xml:space="preserve">High Priority Cases</t>
  </si>
  <si>
    <t xml:space="preserve">Medium Priority Cases</t>
  </si>
  <si>
    <t xml:space="preserve">Low Priority Cases</t>
  </si>
  <si>
    <t xml:space="preserve">Resolved Cases</t>
  </si>
  <si>
    <t xml:space="preserve">Escalated Cases</t>
  </si>
  <si>
    <t xml:space="preserve">Closed Cases</t>
  </si>
  <si>
    <t xml:space="preserve">Hair Care Cases</t>
  </si>
  <si>
    <t xml:space="preserve">Personal Hygiene Cases</t>
  </si>
  <si>
    <t xml:space="preserve">Average CSAT Score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</si>
</sst>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CCFFFF"/>
      </patternFill>
    </fill>
    <fill>
      <patternFill patternType="solid">
        <fgColor rgb="FFFF6B35"/>
        <bgColor rgb="FFFF8080"/>
      </patternFill>
    </fill>
    <fill>
      <patternFill patternType="solid">
        <fgColor rgb="FF70AD47"/>
        <bgColor rgb="FF339966"/>
      </patternFill>
    </fill>
    <fill>
      <patternFill patternType="solid">
        <fgColor rgb="FFFFFFFF"/>
        <bgColor rgb="FFFFFFCC"/>
      </patternFill>
    </fill>
    <fill>
      <patternFill patternType="solid">
        <fgColor rgb="FFFFB347"/>
        <bgColor rgb="FFFF9900"/>
      </patternFill>
    </fill>
    <fill>
      <patternFill patternType="solid">
        <fgColor rgb="FF4472C4"/>
        <bgColor rgb="FF666699"/>
      </patternFill>
    </fill>
    <fill>
      <patternFill patternType="solid">
        <fgColor rgb="FFC00000"/>
        <bgColor rgb="FF800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6" fillId="9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B347"/>
      <rgbColor rgb="FFFF9900"/>
      <rgbColor rgb="FFFF6B35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38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7" min="7" style="0" width="65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55"/>
    <col collapsed="false" customWidth="true" hidden="false" outlineLevel="0" max="11" min="11" style="0" width="40"/>
    <col collapsed="false" customWidth="true" hidden="false" outlineLevel="0" max="12" min="12" style="0" width="1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60" hidden="false" customHeight="tru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3" t="s">
        <v>19</v>
      </c>
      <c r="I2" s="4" t="s">
        <v>20</v>
      </c>
      <c r="J2" s="2" t="s">
        <v>21</v>
      </c>
      <c r="K2" s="2" t="s">
        <v>22</v>
      </c>
      <c r="L2" s="2" t="n">
        <v>5</v>
      </c>
    </row>
    <row r="3" customFormat="false" ht="60" hidden="false" customHeight="true" outlineLevel="0" collapsed="false">
      <c r="A3" s="5" t="s">
        <v>23</v>
      </c>
      <c r="B3" s="5" t="s">
        <v>24</v>
      </c>
      <c r="C3" s="5" t="s">
        <v>25</v>
      </c>
      <c r="D3" s="5" t="s">
        <v>26</v>
      </c>
      <c r="E3" s="5" t="s">
        <v>16</v>
      </c>
      <c r="F3" s="5" t="s">
        <v>27</v>
      </c>
      <c r="G3" s="5" t="s">
        <v>28</v>
      </c>
      <c r="H3" s="3" t="s">
        <v>19</v>
      </c>
      <c r="I3" s="4" t="s">
        <v>20</v>
      </c>
      <c r="J3" s="5" t="s">
        <v>29</v>
      </c>
      <c r="K3" s="5" t="s">
        <v>30</v>
      </c>
      <c r="L3" s="5" t="n">
        <v>4</v>
      </c>
    </row>
    <row r="4" customFormat="false" ht="60" hidden="false" customHeight="true" outlineLevel="0" collapsed="false">
      <c r="A4" s="2" t="s">
        <v>31</v>
      </c>
      <c r="B4" s="2" t="s">
        <v>32</v>
      </c>
      <c r="C4" s="2" t="s">
        <v>33</v>
      </c>
      <c r="D4" s="2" t="s">
        <v>34</v>
      </c>
      <c r="E4" s="2" t="s">
        <v>16</v>
      </c>
      <c r="F4" s="2" t="s">
        <v>35</v>
      </c>
      <c r="G4" s="2" t="s">
        <v>36</v>
      </c>
      <c r="H4" s="6" t="s">
        <v>37</v>
      </c>
      <c r="I4" s="7" t="s">
        <v>38</v>
      </c>
      <c r="J4" s="2" t="s">
        <v>39</v>
      </c>
      <c r="K4" s="2" t="s">
        <v>40</v>
      </c>
      <c r="L4" s="2" t="n">
        <v>3</v>
      </c>
    </row>
    <row r="5" customFormat="false" ht="60" hidden="false" customHeight="true" outlineLevel="0" collapsed="false">
      <c r="A5" s="5" t="s">
        <v>41</v>
      </c>
      <c r="B5" s="5" t="s">
        <v>42</v>
      </c>
      <c r="C5" s="5" t="s">
        <v>43</v>
      </c>
      <c r="D5" s="5" t="s">
        <v>44</v>
      </c>
      <c r="E5" s="5" t="s">
        <v>16</v>
      </c>
      <c r="F5" s="5" t="s">
        <v>45</v>
      </c>
      <c r="G5" s="5" t="s">
        <v>46</v>
      </c>
      <c r="H5" s="6" t="s">
        <v>37</v>
      </c>
      <c r="I5" s="4" t="s">
        <v>20</v>
      </c>
      <c r="J5" s="5" t="s">
        <v>47</v>
      </c>
      <c r="K5" s="5" t="s">
        <v>48</v>
      </c>
      <c r="L5" s="5" t="n">
        <v>4</v>
      </c>
    </row>
    <row r="6" customFormat="false" ht="60" hidden="false" customHeight="true" outlineLevel="0" collapsed="false">
      <c r="A6" s="2" t="s">
        <v>49</v>
      </c>
      <c r="B6" s="2" t="s">
        <v>50</v>
      </c>
      <c r="C6" s="2" t="s">
        <v>51</v>
      </c>
      <c r="D6" s="2" t="s">
        <v>52</v>
      </c>
      <c r="E6" s="2" t="s">
        <v>16</v>
      </c>
      <c r="F6" s="2" t="s">
        <v>53</v>
      </c>
      <c r="G6" s="2" t="s">
        <v>54</v>
      </c>
      <c r="H6" s="3" t="s">
        <v>19</v>
      </c>
      <c r="I6" s="4" t="s">
        <v>20</v>
      </c>
      <c r="J6" s="2" t="s">
        <v>55</v>
      </c>
      <c r="K6" s="2" t="s">
        <v>56</v>
      </c>
      <c r="L6" s="2" t="n">
        <v>4</v>
      </c>
    </row>
    <row r="7" customFormat="false" ht="60" hidden="false" customHeight="true" outlineLevel="0" collapsed="false">
      <c r="A7" s="5" t="s">
        <v>57</v>
      </c>
      <c r="B7" s="5" t="s">
        <v>58</v>
      </c>
      <c r="C7" s="5" t="s">
        <v>59</v>
      </c>
      <c r="D7" s="5" t="s">
        <v>60</v>
      </c>
      <c r="E7" s="5" t="s">
        <v>16</v>
      </c>
      <c r="F7" s="5" t="s">
        <v>61</v>
      </c>
      <c r="G7" s="5" t="s">
        <v>62</v>
      </c>
      <c r="H7" s="3" t="s">
        <v>19</v>
      </c>
      <c r="I7" s="4" t="s">
        <v>20</v>
      </c>
      <c r="J7" s="5" t="s">
        <v>63</v>
      </c>
      <c r="K7" s="5" t="s">
        <v>64</v>
      </c>
      <c r="L7" s="5" t="n">
        <v>3</v>
      </c>
    </row>
    <row r="8" customFormat="false" ht="60" hidden="false" customHeight="true" outlineLevel="0" collapsed="false">
      <c r="A8" s="2" t="s">
        <v>65</v>
      </c>
      <c r="B8" s="2" t="s">
        <v>66</v>
      </c>
      <c r="C8" s="2" t="s">
        <v>67</v>
      </c>
      <c r="D8" s="2" t="s">
        <v>68</v>
      </c>
      <c r="E8" s="2" t="s">
        <v>16</v>
      </c>
      <c r="F8" s="2" t="s">
        <v>69</v>
      </c>
      <c r="G8" s="2" t="s">
        <v>70</v>
      </c>
      <c r="H8" s="8" t="s">
        <v>71</v>
      </c>
      <c r="I8" s="8" t="s">
        <v>72</v>
      </c>
      <c r="J8" s="2" t="s">
        <v>73</v>
      </c>
      <c r="K8" s="2" t="s">
        <v>74</v>
      </c>
      <c r="L8" s="2" t="n">
        <v>2</v>
      </c>
    </row>
    <row r="9" customFormat="false" ht="60" hidden="false" customHeight="true" outlineLevel="0" collapsed="false">
      <c r="A9" s="5" t="s">
        <v>75</v>
      </c>
      <c r="B9" s="5" t="s">
        <v>76</v>
      </c>
      <c r="C9" s="5" t="s">
        <v>77</v>
      </c>
      <c r="D9" s="5" t="s">
        <v>78</v>
      </c>
      <c r="E9" s="5" t="s">
        <v>16</v>
      </c>
      <c r="F9" s="5" t="s">
        <v>79</v>
      </c>
      <c r="G9" s="5" t="s">
        <v>80</v>
      </c>
      <c r="H9" s="6" t="s">
        <v>37</v>
      </c>
      <c r="I9" s="4" t="s">
        <v>20</v>
      </c>
      <c r="J9" s="5" t="s">
        <v>81</v>
      </c>
      <c r="K9" s="5" t="s">
        <v>82</v>
      </c>
      <c r="L9" s="5" t="n">
        <v>5</v>
      </c>
    </row>
    <row r="10" customFormat="false" ht="60" hidden="false" customHeight="true" outlineLevel="0" collapsed="false">
      <c r="A10" s="2" t="s">
        <v>83</v>
      </c>
      <c r="B10" s="2" t="s">
        <v>84</v>
      </c>
      <c r="C10" s="2" t="s">
        <v>85</v>
      </c>
      <c r="D10" s="2" t="s">
        <v>86</v>
      </c>
      <c r="E10" s="2" t="s">
        <v>16</v>
      </c>
      <c r="F10" s="2" t="s">
        <v>87</v>
      </c>
      <c r="G10" s="2" t="s">
        <v>88</v>
      </c>
      <c r="H10" s="6" t="s">
        <v>37</v>
      </c>
      <c r="I10" s="4" t="s">
        <v>20</v>
      </c>
      <c r="J10" s="2" t="s">
        <v>89</v>
      </c>
      <c r="K10" s="2" t="s">
        <v>90</v>
      </c>
      <c r="L10" s="2" t="n">
        <v>4</v>
      </c>
    </row>
    <row r="11" customFormat="false" ht="60" hidden="false" customHeight="true" outlineLevel="0" collapsed="false">
      <c r="A11" s="5" t="s">
        <v>91</v>
      </c>
      <c r="B11" s="5" t="s">
        <v>92</v>
      </c>
      <c r="C11" s="5" t="s">
        <v>93</v>
      </c>
      <c r="D11" s="5" t="s">
        <v>94</v>
      </c>
      <c r="E11" s="5" t="s">
        <v>16</v>
      </c>
      <c r="F11" s="5" t="s">
        <v>95</v>
      </c>
      <c r="G11" s="5" t="s">
        <v>96</v>
      </c>
      <c r="H11" s="3" t="s">
        <v>19</v>
      </c>
      <c r="I11" s="8" t="s">
        <v>72</v>
      </c>
      <c r="J11" s="5" t="s">
        <v>97</v>
      </c>
      <c r="K11" s="5" t="s">
        <v>98</v>
      </c>
      <c r="L11" s="5" t="n">
        <v>2</v>
      </c>
    </row>
    <row r="12" customFormat="false" ht="60" hidden="false" customHeight="true" outlineLevel="0" collapsed="false">
      <c r="A12" s="2" t="s">
        <v>99</v>
      </c>
      <c r="B12" s="2" t="s">
        <v>100</v>
      </c>
      <c r="C12" s="2" t="s">
        <v>101</v>
      </c>
      <c r="D12" s="2" t="s">
        <v>102</v>
      </c>
      <c r="E12" s="2" t="s">
        <v>103</v>
      </c>
      <c r="F12" s="2" t="s">
        <v>104</v>
      </c>
      <c r="G12" s="2" t="s">
        <v>105</v>
      </c>
      <c r="H12" s="3" t="s">
        <v>19</v>
      </c>
      <c r="I12" s="4" t="s">
        <v>20</v>
      </c>
      <c r="J12" s="2" t="s">
        <v>106</v>
      </c>
      <c r="K12" s="2" t="s">
        <v>107</v>
      </c>
      <c r="L12" s="2" t="n">
        <v>4</v>
      </c>
    </row>
    <row r="13" customFormat="false" ht="60" hidden="false" customHeight="true" outlineLevel="0" collapsed="false">
      <c r="A13" s="5" t="s">
        <v>108</v>
      </c>
      <c r="B13" s="5" t="s">
        <v>109</v>
      </c>
      <c r="C13" s="5" t="s">
        <v>110</v>
      </c>
      <c r="D13" s="5" t="s">
        <v>111</v>
      </c>
      <c r="E13" s="5" t="s">
        <v>103</v>
      </c>
      <c r="F13" s="5" t="s">
        <v>112</v>
      </c>
      <c r="G13" s="5" t="s">
        <v>113</v>
      </c>
      <c r="H13" s="6" t="s">
        <v>37</v>
      </c>
      <c r="I13" s="4" t="s">
        <v>20</v>
      </c>
      <c r="J13" s="5" t="s">
        <v>114</v>
      </c>
      <c r="K13" s="5" t="s">
        <v>115</v>
      </c>
      <c r="L13" s="5" t="n">
        <v>4</v>
      </c>
    </row>
    <row r="14" customFormat="false" ht="60" hidden="false" customHeight="true" outlineLevel="0" collapsed="false">
      <c r="A14" s="2" t="s">
        <v>116</v>
      </c>
      <c r="B14" s="2" t="s">
        <v>117</v>
      </c>
      <c r="C14" s="2" t="s">
        <v>118</v>
      </c>
      <c r="D14" s="2" t="s">
        <v>119</v>
      </c>
      <c r="E14" s="2" t="s">
        <v>103</v>
      </c>
      <c r="F14" s="2" t="s">
        <v>120</v>
      </c>
      <c r="G14" s="2" t="s">
        <v>121</v>
      </c>
      <c r="H14" s="6" t="s">
        <v>37</v>
      </c>
      <c r="I14" s="4" t="s">
        <v>20</v>
      </c>
      <c r="J14" s="2" t="s">
        <v>122</v>
      </c>
      <c r="K14" s="2" t="s">
        <v>123</v>
      </c>
      <c r="L14" s="2" t="n">
        <v>3</v>
      </c>
    </row>
    <row r="15" customFormat="false" ht="60" hidden="false" customHeight="true" outlineLevel="0" collapsed="false">
      <c r="A15" s="5" t="s">
        <v>124</v>
      </c>
      <c r="B15" s="5" t="s">
        <v>125</v>
      </c>
      <c r="C15" s="5" t="s">
        <v>126</v>
      </c>
      <c r="D15" s="5" t="s">
        <v>127</v>
      </c>
      <c r="E15" s="5" t="s">
        <v>103</v>
      </c>
      <c r="F15" s="5" t="s">
        <v>128</v>
      </c>
      <c r="G15" s="5" t="s">
        <v>129</v>
      </c>
      <c r="H15" s="4" t="s">
        <v>130</v>
      </c>
      <c r="I15" s="4" t="s">
        <v>20</v>
      </c>
      <c r="J15" s="5" t="s">
        <v>131</v>
      </c>
      <c r="K15" s="5" t="s">
        <v>132</v>
      </c>
      <c r="L15" s="5" t="n">
        <v>4</v>
      </c>
    </row>
    <row r="16" customFormat="false" ht="60" hidden="false" customHeight="true" outlineLevel="0" collapsed="false">
      <c r="A16" s="2" t="s">
        <v>133</v>
      </c>
      <c r="B16" s="2" t="s">
        <v>134</v>
      </c>
      <c r="C16" s="2" t="s">
        <v>135</v>
      </c>
      <c r="D16" s="2" t="s">
        <v>136</v>
      </c>
      <c r="E16" s="2" t="s">
        <v>103</v>
      </c>
      <c r="F16" s="2" t="s">
        <v>137</v>
      </c>
      <c r="G16" s="2" t="s">
        <v>138</v>
      </c>
      <c r="H16" s="6" t="s">
        <v>37</v>
      </c>
      <c r="I16" s="7" t="s">
        <v>38</v>
      </c>
      <c r="J16" s="2" t="s">
        <v>139</v>
      </c>
      <c r="K16" s="2" t="s">
        <v>140</v>
      </c>
      <c r="L16" s="2" t="n">
        <v>3</v>
      </c>
    </row>
    <row r="17" customFormat="false" ht="60" hidden="false" customHeight="true" outlineLevel="0" collapsed="false">
      <c r="A17" s="5" t="s">
        <v>141</v>
      </c>
      <c r="B17" s="5" t="s">
        <v>142</v>
      </c>
      <c r="C17" s="5" t="s">
        <v>143</v>
      </c>
      <c r="D17" s="5" t="s">
        <v>144</v>
      </c>
      <c r="E17" s="5" t="s">
        <v>103</v>
      </c>
      <c r="F17" s="5" t="s">
        <v>145</v>
      </c>
      <c r="G17" s="5" t="s">
        <v>146</v>
      </c>
      <c r="H17" s="6" t="s">
        <v>37</v>
      </c>
      <c r="I17" s="4" t="s">
        <v>20</v>
      </c>
      <c r="J17" s="5" t="s">
        <v>147</v>
      </c>
      <c r="K17" s="5" t="s">
        <v>148</v>
      </c>
      <c r="L17" s="5" t="n">
        <v>5</v>
      </c>
    </row>
    <row r="18" customFormat="false" ht="60" hidden="false" customHeight="true" outlineLevel="0" collapsed="false">
      <c r="A18" s="2" t="s">
        <v>149</v>
      </c>
      <c r="B18" s="2" t="s">
        <v>150</v>
      </c>
      <c r="C18" s="2" t="s">
        <v>151</v>
      </c>
      <c r="D18" s="2" t="s">
        <v>152</v>
      </c>
      <c r="E18" s="2" t="s">
        <v>103</v>
      </c>
      <c r="F18" s="2" t="s">
        <v>153</v>
      </c>
      <c r="G18" s="2" t="s">
        <v>154</v>
      </c>
      <c r="H18" s="3" t="s">
        <v>19</v>
      </c>
      <c r="I18" s="4" t="s">
        <v>20</v>
      </c>
      <c r="J18" s="2" t="s">
        <v>155</v>
      </c>
      <c r="K18" s="2" t="s">
        <v>156</v>
      </c>
      <c r="L18" s="2" t="n">
        <v>5</v>
      </c>
    </row>
    <row r="19" customFormat="false" ht="60" hidden="false" customHeight="true" outlineLevel="0" collapsed="false">
      <c r="A19" s="5" t="s">
        <v>157</v>
      </c>
      <c r="B19" s="5" t="s">
        <v>158</v>
      </c>
      <c r="C19" s="5" t="s">
        <v>159</v>
      </c>
      <c r="D19" s="5" t="s">
        <v>160</v>
      </c>
      <c r="E19" s="5" t="s">
        <v>103</v>
      </c>
      <c r="F19" s="5" t="s">
        <v>161</v>
      </c>
      <c r="G19" s="5" t="s">
        <v>162</v>
      </c>
      <c r="H19" s="8" t="s">
        <v>71</v>
      </c>
      <c r="I19" s="8" t="s">
        <v>72</v>
      </c>
      <c r="J19" s="5" t="s">
        <v>163</v>
      </c>
      <c r="K19" s="5" t="s">
        <v>164</v>
      </c>
      <c r="L19" s="5" t="n">
        <v>2</v>
      </c>
    </row>
    <row r="20" customFormat="false" ht="60" hidden="false" customHeight="true" outlineLevel="0" collapsed="false">
      <c r="A20" s="2" t="s">
        <v>165</v>
      </c>
      <c r="B20" s="2" t="s">
        <v>166</v>
      </c>
      <c r="C20" s="2" t="s">
        <v>101</v>
      </c>
      <c r="D20" s="2" t="s">
        <v>167</v>
      </c>
      <c r="E20" s="2" t="s">
        <v>103</v>
      </c>
      <c r="F20" s="2" t="s">
        <v>168</v>
      </c>
      <c r="G20" s="2" t="s">
        <v>169</v>
      </c>
      <c r="H20" s="6" t="s">
        <v>37</v>
      </c>
      <c r="I20" s="4" t="s">
        <v>20</v>
      </c>
      <c r="J20" s="2" t="s">
        <v>170</v>
      </c>
      <c r="K20" s="2" t="s">
        <v>171</v>
      </c>
      <c r="L20" s="2" t="n">
        <v>4</v>
      </c>
    </row>
    <row r="21" customFormat="false" ht="60" hidden="false" customHeight="true" outlineLevel="0" collapsed="false">
      <c r="A21" s="5" t="s">
        <v>172</v>
      </c>
      <c r="B21" s="5" t="s">
        <v>173</v>
      </c>
      <c r="C21" s="5" t="s">
        <v>110</v>
      </c>
      <c r="D21" s="5" t="s">
        <v>174</v>
      </c>
      <c r="E21" s="5" t="s">
        <v>103</v>
      </c>
      <c r="F21" s="5" t="s">
        <v>175</v>
      </c>
      <c r="G21" s="5" t="s">
        <v>176</v>
      </c>
      <c r="H21" s="3" t="s">
        <v>19</v>
      </c>
      <c r="I21" s="4" t="s">
        <v>20</v>
      </c>
      <c r="J21" s="5" t="s">
        <v>177</v>
      </c>
      <c r="K21" s="5" t="s">
        <v>178</v>
      </c>
      <c r="L21" s="5" t="n">
        <v>4</v>
      </c>
    </row>
    <row r="22" customFormat="false" ht="60" hidden="false" customHeight="true" outlineLevel="0" collapsed="false">
      <c r="A22" s="2" t="s">
        <v>179</v>
      </c>
      <c r="B22" s="2" t="s">
        <v>180</v>
      </c>
      <c r="C22" s="2" t="s">
        <v>118</v>
      </c>
      <c r="D22" s="2" t="s">
        <v>181</v>
      </c>
      <c r="E22" s="2" t="s">
        <v>103</v>
      </c>
      <c r="F22" s="2" t="s">
        <v>182</v>
      </c>
      <c r="G22" s="2" t="s">
        <v>183</v>
      </c>
      <c r="H22" s="3" t="s">
        <v>19</v>
      </c>
      <c r="I22" s="4" t="s">
        <v>20</v>
      </c>
      <c r="J22" s="2" t="s">
        <v>184</v>
      </c>
      <c r="K22" s="2" t="s">
        <v>185</v>
      </c>
      <c r="L22" s="2" t="n">
        <v>5</v>
      </c>
    </row>
    <row r="23" customFormat="false" ht="60" hidden="false" customHeight="true" outlineLevel="0" collapsed="false">
      <c r="A23" s="5" t="s">
        <v>186</v>
      </c>
      <c r="B23" s="5" t="s">
        <v>187</v>
      </c>
      <c r="C23" s="5" t="s">
        <v>33</v>
      </c>
      <c r="D23" s="5" t="s">
        <v>34</v>
      </c>
      <c r="E23" s="5" t="s">
        <v>16</v>
      </c>
      <c r="F23" s="5" t="s">
        <v>188</v>
      </c>
      <c r="G23" s="5" t="s">
        <v>189</v>
      </c>
      <c r="H23" s="6" t="s">
        <v>37</v>
      </c>
      <c r="I23" s="4" t="s">
        <v>20</v>
      </c>
      <c r="J23" s="5" t="s">
        <v>190</v>
      </c>
      <c r="K23" s="5" t="s">
        <v>191</v>
      </c>
      <c r="L23" s="5" t="n">
        <v>4</v>
      </c>
    </row>
    <row r="24" customFormat="false" ht="60" hidden="false" customHeight="true" outlineLevel="0" collapsed="false">
      <c r="A24" s="2" t="s">
        <v>192</v>
      </c>
      <c r="B24" s="2" t="s">
        <v>193</v>
      </c>
      <c r="C24" s="2" t="s">
        <v>25</v>
      </c>
      <c r="D24" s="2" t="s">
        <v>26</v>
      </c>
      <c r="E24" s="2" t="s">
        <v>16</v>
      </c>
      <c r="F24" s="2" t="s">
        <v>194</v>
      </c>
      <c r="G24" s="2" t="s">
        <v>195</v>
      </c>
      <c r="H24" s="3" t="s">
        <v>19</v>
      </c>
      <c r="I24" s="7" t="s">
        <v>38</v>
      </c>
      <c r="J24" s="2" t="s">
        <v>196</v>
      </c>
      <c r="K24" s="2" t="s">
        <v>197</v>
      </c>
      <c r="L24" s="2" t="n">
        <v>4</v>
      </c>
    </row>
    <row r="25" customFormat="false" ht="60" hidden="false" customHeight="true" outlineLevel="0" collapsed="false">
      <c r="A25" s="5" t="s">
        <v>198</v>
      </c>
      <c r="B25" s="5" t="s">
        <v>199</v>
      </c>
      <c r="C25" s="5" t="s">
        <v>51</v>
      </c>
      <c r="D25" s="5" t="s">
        <v>52</v>
      </c>
      <c r="E25" s="5" t="s">
        <v>16</v>
      </c>
      <c r="F25" s="5" t="s">
        <v>200</v>
      </c>
      <c r="G25" s="5" t="s">
        <v>201</v>
      </c>
      <c r="H25" s="4" t="s">
        <v>130</v>
      </c>
      <c r="I25" s="4" t="s">
        <v>20</v>
      </c>
      <c r="J25" s="5" t="s">
        <v>202</v>
      </c>
      <c r="K25" s="5" t="s">
        <v>203</v>
      </c>
      <c r="L25" s="5" t="n">
        <v>3</v>
      </c>
    </row>
    <row r="26" customFormat="false" ht="60" hidden="false" customHeight="true" outlineLevel="0" collapsed="false">
      <c r="A26" s="2" t="s">
        <v>204</v>
      </c>
      <c r="B26" s="2" t="s">
        <v>205</v>
      </c>
      <c r="C26" s="2" t="s">
        <v>159</v>
      </c>
      <c r="D26" s="2" t="s">
        <v>160</v>
      </c>
      <c r="E26" s="2" t="s">
        <v>103</v>
      </c>
      <c r="F26" s="2" t="s">
        <v>206</v>
      </c>
      <c r="G26" s="2" t="s">
        <v>207</v>
      </c>
      <c r="H26" s="3" t="s">
        <v>19</v>
      </c>
      <c r="I26" s="4" t="s">
        <v>20</v>
      </c>
      <c r="J26" s="2" t="s">
        <v>208</v>
      </c>
      <c r="K26" s="2" t="s">
        <v>209</v>
      </c>
      <c r="L26" s="2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</cols>
  <sheetData>
    <row r="1" customFormat="false" ht="15" hidden="false" customHeight="false" outlineLevel="0" collapsed="false">
      <c r="A1" s="9" t="s">
        <v>210</v>
      </c>
      <c r="B1" s="9" t="s">
        <v>211</v>
      </c>
    </row>
    <row r="2" customFormat="false" ht="15" hidden="false" customHeight="false" outlineLevel="0" collapsed="false">
      <c r="A2" s="10" t="s">
        <v>212</v>
      </c>
      <c r="B2" s="11" t="n">
        <f aca="false">COUNTA('Support Cases'!A2:A1000)</f>
        <v>25</v>
      </c>
    </row>
    <row r="3" customFormat="false" ht="15" hidden="false" customHeight="false" outlineLevel="0" collapsed="false">
      <c r="A3" s="12" t="s">
        <v>213</v>
      </c>
      <c r="B3" s="13" t="n">
        <f aca="false">COUNTIF('Support Cases'!H2:H1000,"Critical")</f>
        <v>2</v>
      </c>
    </row>
    <row r="4" customFormat="false" ht="15" hidden="false" customHeight="false" outlineLevel="0" collapsed="false">
      <c r="A4" s="10" t="s">
        <v>214</v>
      </c>
      <c r="B4" s="11" t="n">
        <f aca="false">COUNTIF('Support Cases'!H2:H1000,"High")</f>
        <v>11</v>
      </c>
    </row>
    <row r="5" customFormat="false" ht="15" hidden="false" customHeight="false" outlineLevel="0" collapsed="false">
      <c r="A5" s="12" t="s">
        <v>215</v>
      </c>
      <c r="B5" s="13" t="n">
        <f aca="false">COUNTIF('Support Cases'!H2:H1000,"Medium")</f>
        <v>10</v>
      </c>
    </row>
    <row r="6" customFormat="false" ht="15" hidden="false" customHeight="false" outlineLevel="0" collapsed="false">
      <c r="A6" s="10" t="s">
        <v>216</v>
      </c>
      <c r="B6" s="11" t="n">
        <f aca="false">COUNTIF('Support Cases'!H2:H1000,"Low")</f>
        <v>2</v>
      </c>
    </row>
    <row r="7" customFormat="false" ht="15" hidden="false" customHeight="false" outlineLevel="0" collapsed="false">
      <c r="A7" s="12" t="s">
        <v>217</v>
      </c>
      <c r="B7" s="13" t="n">
        <f aca="false">COUNTIF('Support Cases'!I2:I1000,"Resolved")</f>
        <v>19</v>
      </c>
    </row>
    <row r="8" customFormat="false" ht="15" hidden="false" customHeight="false" outlineLevel="0" collapsed="false">
      <c r="A8" s="10" t="s">
        <v>218</v>
      </c>
      <c r="B8" s="11" t="n">
        <f aca="false">COUNTIF('Support Cases'!I2:I1000,"Escalated")</f>
        <v>3</v>
      </c>
    </row>
    <row r="9" customFormat="false" ht="15" hidden="false" customHeight="false" outlineLevel="0" collapsed="false">
      <c r="A9" s="12" t="s">
        <v>219</v>
      </c>
      <c r="B9" s="13" t="n">
        <f aca="false">COUNTIF('Support Cases'!I2:I1000,"Closed")</f>
        <v>3</v>
      </c>
    </row>
    <row r="10" customFormat="false" ht="15" hidden="false" customHeight="false" outlineLevel="0" collapsed="false">
      <c r="A10" s="10" t="s">
        <v>220</v>
      </c>
      <c r="B10" s="11" t="n">
        <f aca="false">COUNTIF('Support Cases'!E2:E1000,"Hair Care")</f>
        <v>13</v>
      </c>
    </row>
    <row r="11" customFormat="false" ht="15" hidden="false" customHeight="false" outlineLevel="0" collapsed="false">
      <c r="A11" s="12" t="s">
        <v>221</v>
      </c>
      <c r="B11" s="13" t="n">
        <f aca="false">COUNTIF('Support Cases'!E2:E1000,"Personal Hygiene")</f>
        <v>12</v>
      </c>
    </row>
    <row r="12" customFormat="false" ht="15" hidden="false" customHeight="false" outlineLevel="0" collapsed="false">
      <c r="A12" s="10" t="s">
        <v>222</v>
      </c>
      <c r="B12" s="11" t="n">
        <f aca="false">AVERAGE('Support Cases'!L2:L1000)</f>
        <v>3.76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2026-02-23T23:07:25Z</dcterms:created>
  <dc:creator>openpyxl</dc:creator>
  <dc:description/>
  <dc:language>en-US</dc:language>
  <cp:lastModifiedBy/>
  <dcterms:modified xsi:type="dcterms:W3CDTF">2026-02-23T23:07:25Z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